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<sst xmlns="http://schemas.openxmlformats.org/spreadsheetml/2006/main" count="36" uniqueCount="36">
  <si>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RIXAR IMOB S.R.L. — Ofertă echipamente Clivet</t>
  </si>
  <si>
    <t xml:space="preserve">CUI RO40039921 · Reg. Com. J35/3638/2018 · Moșnița Nouă, Str. Paulina nr. 4, Timiș</t>
  </si>
  <si>
    <t xml:space="preserve">office@rixar.ro · 0722 975 518 · www.rixair.ro</t>
  </si>
  <si>
    <t xml:space="preserve">Oferta nr. 1 / 18.08.2026</t>
  </si>
  <si>
    <t xml:space="preserve">Valabilitate: 15 zile</t>
  </si>
  <si>
    <t xml:space="preserve">Proiect: casă nouă P+E, ~220 m², Chevereșu Mare, jud. Timiș</t>
  </si>
  <si>
    <t xml:space="preserve">Construcție: Porotherm 30 cm + termoizolație ~15 cm, tâmplărie tripan · alimentare monofazată 230 V</t>
  </si>
  <si>
    <t xml:space="preserve">Curs valutar folosit (lei/EUR):</t>
  </si>
  <si>
    <t xml:space="preserve">curs comunicat de client</t>
  </si>
  <si>
    <t xml:space="preserve">Produs</t>
  </si>
  <si>
    <t xml:space="preserve">Cod produs</t>
  </si>
  <si>
    <t xml:space="preserve">Preț (Lei, TVA inclus)</t>
  </si>
  <si>
    <t xml:space="preserve">Preț (EUR)</t>
  </si>
  <si>
    <t xml:space="preserve">Pompă de căldură monobloc Edge F 5.1 (WiSAN-PME R-290)</t>
  </si>
  <si>
    <t xml:space="preserve">EdgeF-5.1</t>
  </si>
  <si>
    <t xml:space="preserve">Boiler cu pompă de căldură AQUA F 190 (DSDH-P AQ 1 S 190)</t>
  </si>
  <si>
    <t xml:space="preserve">DSDH-P-AQ-1S-190</t>
  </si>
  <si>
    <t xml:space="preserve">Boiler cu pompă de căldură AQUA F 190S cu serpentină (DSDH-P AQ 1 S 190S)</t>
  </si>
  <si>
    <t xml:space="preserve">DSDH-P-AQ-1S-190S</t>
  </si>
  <si>
    <t xml:space="preserve">Variante de sistem propuse</t>
  </si>
  <si>
    <t xml:space="preserve">Varianta 1 — doar pompa de căldură Edge F 5.1</t>
  </si>
  <si>
    <t xml:space="preserve">Varianta 2 — Edge F 5.1 + boiler AQUA F 190</t>
  </si>
  <si>
    <t xml:space="preserve">Varianta 3 — Edge F 5.1 + boiler AQUA F 190S (cu serpentină, pregătit pentru panouri solare / sursă suplimentară)</t>
  </si>
  <si>
    <t xml:space="preserve">De ce Edge F 5.1 pentru această casă</t>
  </si>
  <si>
    <t xml:space="preserve">• Agent frigorific R-290 (propan), exact gama cerută — echivalent direct al modelelor analizate (Aquarea T-CAP M, Altherma 4, EHS Mono).</t>
  </si>
  <si>
    <t xml:space="preserve">• Capacitate încălzire 10,0 kW (apă 35 °C / aer +7 °C) — în plaja 9–12 kW cerută, potrivită pentru ~220 m² bine izolați.</t>
  </si>
  <si>
    <t xml:space="preserve">• Alimentare 230 V monofazică — compatibilă cu branșamentul existent, fără trecere la trifazic.</t>
  </si>
  <si>
    <t xml:space="preserve">• Temperatură pe tur până la 75 °C — funcționează și cu radiatoare (parter), și cu încălzire în pardoseală (etaj).</t>
  </si>
  <si>
    <t xml:space="preserve">• COP 4,70 la +7 °C · clasă energetică A+++ · marcă Clivet (Grupul Midea), distribuitor oficial.</t>
  </si>
  <si>
    <t xml:space="preserve">• Boiler AQUA F 190: pompă de căldură proprie pentru ACM, potrivit pentru 2 persoane; varianta 190S are serpentină pentru o sursă suplimentară (ex. panouri solare).</t>
  </si>
  <si>
    <t xml:space="preserve">Note</t>
  </si>
  <si>
    <t xml:space="preserve">• Prețurile includ TVA. Prețul în EUR este orientativ, la cursul din celula B9.</t>
  </si>
  <si>
    <t xml:space="preserve">• Transportul se confirmă la comandă, în funcție de destinație (livrare pe palet, în toată țara).</t>
  </si>
  <si>
    <t xml:space="preserve">• Oferta acoperă echipamentele; montajul nu este inclus — se realizează de un instalator autorizat, ales de client. Oferim consultanță tehnică la punerea în funcțiune.</t>
  </si>
  <si>
    <t xml:space="preserve">• Accesoriile hidraulice (vas expansiune, filtre, kit conectare) se dimensionează împreună cu instalatorul; le putem oferta separat la cerere.</t>
  </si>
  <si>
    <t xml:space="preserve">• Disponibilitate curentă: Edge F 5.1 — în stoc · AQUA F 190S — în stoc · AQUA F 190 — la comandă.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</si>
</sst>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&quot; Lei&quot;"/>
    <numFmt numFmtId="167" formatCode="#,##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A5E"/>
      <name val="Arial"/>
      <family val="0"/>
      <charset val="1"/>
    </font>
    <font>
      <sz val="9.5"/>
      <color rgb="FF68798A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879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2"/>
      <color rgb="FF123A5E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11"/>
      <color rgb="FF123A5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583AB"/>
        <bgColor rgb="FF008080"/>
      </patternFill>
    </fill>
    <fill>
      <patternFill patternType="solid">
        <fgColor rgb="FFEE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6D0"/>
      </left>
      <right style="thin">
        <color rgb="FFB9C6D0"/>
      </right>
      <top style="thin">
        <color rgb="FFB9C6D0"/>
      </top>
      <bottom style="thin">
        <color rgb="FFB9C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3AB"/>
      <rgbColor rgb="FFB9C6D0"/>
      <rgbColor rgb="FF68798A"/>
      <rgbColor rgb="FF9999FF"/>
      <rgbColor rgb="FF993366"/>
      <rgbColor rgb="FFEE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A5E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</row>
    <row r="7" customFormat="false" ht="15" hidden="false" customHeight="false" outlineLevel="0" collapsed="false">
      <c r="A7" s="2" t="s">
        <v>6</v>
      </c>
    </row>
    <row r="9" customFormat="false" ht="15" hidden="false" customHeight="false" outlineLevel="0" collapsed="false">
      <c r="A9" s="3" t="s">
        <v>7</v>
      </c>
      <c r="B9" s="5" t="n">
        <v>5.24</v>
      </c>
      <c r="C9" s="6" t="s">
        <v>8</v>
      </c>
    </row>
    <row r="11" customFormat="false" ht="15" hidden="false" customHeight="false" outlineLevel="0" collapsed="false">
      <c r="A11" s="7" t="s">
        <v>9</v>
      </c>
      <c r="B11" s="8" t="s">
        <v>10</v>
      </c>
      <c r="C11" s="8" t="s">
        <v>11</v>
      </c>
      <c r="D11" s="8" t="s">
        <v>12</v>
      </c>
    </row>
    <row r="12" customFormat="false" ht="15" hidden="false" customHeight="false" outlineLevel="0" collapsed="false">
      <c r="A12" s="9" t="s">
        <v>13</v>
      </c>
      <c r="B12" s="10" t="s">
        <v>14</v>
      </c>
      <c r="C12" s="11" t="n">
        <v>22740</v>
      </c>
      <c r="D12" s="12" t="n">
        <f aca="false">C12/$B$9</f>
        <v>4339.69465648855</v>
      </c>
    </row>
    <row r="13" customFormat="false" ht="15" hidden="false" customHeight="false" outlineLevel="0" collapsed="false">
      <c r="A13" s="13" t="s">
        <v>15</v>
      </c>
      <c r="B13" s="14" t="s">
        <v>16</v>
      </c>
      <c r="C13" s="15" t="n">
        <v>8550</v>
      </c>
      <c r="D13" s="16" t="n">
        <f aca="false">C13/$B$9</f>
        <v>1631.67938931298</v>
      </c>
    </row>
    <row r="14" customFormat="false" ht="15" hidden="false" customHeight="false" outlineLevel="0" collapsed="false">
      <c r="A14" s="9" t="s">
        <v>17</v>
      </c>
      <c r="B14" s="10" t="s">
        <v>18</v>
      </c>
      <c r="C14" s="11" t="n">
        <v>8950</v>
      </c>
      <c r="D14" s="12" t="n">
        <f aca="false">C14/$B$9</f>
        <v>1708.01526717557</v>
      </c>
    </row>
    <row r="16" customFormat="false" ht="15" hidden="false" customHeight="false" outlineLevel="0" collapsed="false">
      <c r="A16" s="17" t="s">
        <v>19</v>
      </c>
    </row>
    <row r="17" customFormat="false" ht="27.75" hidden="false" customHeight="true" outlineLevel="0" collapsed="false">
      <c r="A17" s="18" t="s">
        <v>20</v>
      </c>
      <c r="B17" s="19"/>
      <c r="C17" s="20" t="n">
        <f aca="false">C12</f>
        <v>22740</v>
      </c>
      <c r="D17" s="21" t="n">
        <f aca="false">C12/$B$9</f>
        <v>4339.69465648855</v>
      </c>
    </row>
    <row r="18" customFormat="false" ht="27.75" hidden="false" customHeight="true" outlineLevel="0" collapsed="false">
      <c r="A18" s="18" t="s">
        <v>21</v>
      </c>
      <c r="B18" s="19"/>
      <c r="C18" s="20" t="n">
        <f aca="false">C12+C13</f>
        <v>31290</v>
      </c>
      <c r="D18" s="21" t="n">
        <f aca="false">(C12+C13)/$B$9</f>
        <v>5971.37404580153</v>
      </c>
    </row>
    <row r="19" customFormat="false" ht="27.75" hidden="false" customHeight="true" outlineLevel="0" collapsed="false">
      <c r="A19" s="18" t="s">
        <v>22</v>
      </c>
      <c r="B19" s="19"/>
      <c r="C19" s="20" t="n">
        <f aca="false">C12+C14</f>
        <v>31690</v>
      </c>
      <c r="D19" s="21" t="n">
        <f aca="false">(C12+C14)/$B$9</f>
        <v>6047.70992366412</v>
      </c>
    </row>
    <row r="21" customFormat="false" ht="15" hidden="false" customHeight="false" outlineLevel="0" collapsed="false">
      <c r="A21" s="17" t="s">
        <v>23</v>
      </c>
    </row>
    <row r="22" customFormat="false" ht="25.5" hidden="false" customHeight="true" outlineLevel="0" collapsed="false">
      <c r="A22" s="22" t="s">
        <v>24</v>
      </c>
    </row>
    <row r="23" customFormat="false" ht="25.5" hidden="false" customHeight="true" outlineLevel="0" collapsed="false">
      <c r="A23" s="22" t="s">
        <v>25</v>
      </c>
    </row>
    <row r="24" customFormat="false" ht="25.5" hidden="false" customHeight="true" outlineLevel="0" collapsed="false">
      <c r="A24" s="22" t="s">
        <v>26</v>
      </c>
    </row>
    <row r="25" customFormat="false" ht="25.5" hidden="false" customHeight="true" outlineLevel="0" collapsed="false">
      <c r="A25" s="22" t="s">
        <v>27</v>
      </c>
    </row>
    <row r="26" customFormat="false" ht="25.5" hidden="false" customHeight="true" outlineLevel="0" collapsed="false">
      <c r="A26" s="22" t="s">
        <v>28</v>
      </c>
    </row>
    <row r="27" customFormat="false" ht="25.5" hidden="false" customHeight="true" outlineLevel="0" collapsed="false">
      <c r="A27" s="22" t="s">
        <v>29</v>
      </c>
    </row>
    <row r="29" customFormat="false" ht="15" hidden="false" customHeight="false" outlineLevel="0" collapsed="false">
      <c r="A29" s="23" t="s">
        <v>30</v>
      </c>
    </row>
    <row r="30" customFormat="false" ht="24" hidden="false" customHeight="true" outlineLevel="0" collapsed="false">
      <c r="A30" s="22" t="s">
        <v>31</v>
      </c>
    </row>
    <row r="31" customFormat="false" ht="24" hidden="false" customHeight="true" outlineLevel="0" collapsed="false">
      <c r="A31" s="22" t="s">
        <v>32</v>
      </c>
    </row>
    <row r="32" customFormat="false" ht="24" hidden="false" customHeight="true" outlineLevel="0" collapsed="false">
      <c r="A32" s="22" t="s">
        <v>33</v>
      </c>
    </row>
    <row r="33" customFormat="false" ht="24" hidden="false" customHeight="true" outlineLevel="0" collapsed="false">
      <c r="A33" s="22" t="s">
        <v>34</v>
      </c>
    </row>
    <row r="34" customFormat="false" ht="24" hidden="false" customHeight="true" outlineLevel="0" collapsed="false">
      <c r="A34" s="2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2026-08-18T19:19:26Z</dcterms:created>
  <dc:creator>openpyxl</dc:creator>
  <dc:description/>
  <dc:language>en-US</dc:language>
  <cp:lastModifiedBy/>
  <dcterms:modified xsi:type="dcterms:W3CDTF">2026-08-18T19:19:26Z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